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ing Guide" sheetId="1" state="visible" r:id="rId3"/>
    <sheet name="README" sheetId="2" state="visible" r:id="rId4"/>
    <sheet name="Source Data" sheetId="3" state="visible" r:id="rId5"/>
    <sheet name="WGS84 Compare" sheetId="4" state="visible" r:id="rId6"/>
    <sheet name="EPSG2100 Frames" sheetId="5" state="visible" r:id="rId7"/>
    <sheet name="HEPOS Validation" sheetId="6" state="visible" r:id="rId8"/>
    <sheet name="Summary"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<sst xmlns="http://schemas.openxmlformats.org/spreadsheetml/2006/main" count="196" uniqueCount="166">
  <si>
    <t xml:space="preserve">Reading guide</t>
  </si>
  <si>
    <t xml:space="preserve">What you are looking at, why it matters, and where to find each piece.</t>
  </si>
  <si>
    <t xml:space="preserve">HEPOS validation workbook · Athens substation site · 2026-04-30 · 5-point ground truth</t>
  </si>
  <si>
    <t xml:space="preserve">The story in 30 seconds</t>
  </si>
  <si>
    <t xml:space="preserve">We have an external surveying RTK (Fengjiang) and the robot dog's onboard RTK (Sinan). When the surveyor marks a point and we paste the controller's Easting/Northing into the dog's waypoint file, the dog ends up about 1 metre off from where we expected. The original PDF (issue_chapters_1_7.md) measured this and ruled out RTK noise as the cause.</t>
  </si>
  <si>
    <t xml:space="preserve">This workbook proves what the missing piece is: the Fengjiang controller is applying the official HEPOS plane grid (the cadastral correction grid published by ΚΤΗΜΑΤΟΛΟΓΙΟ). The dog is not. Once we apply the same grid on the dog, the two systems agree to about 4 mm — which is RTK noise, i.e. as good as it can ever be.</t>
  </si>
  <si>
    <t xml:space="preserve">Bottom line: the dog can be made cadastrally accurate today by loading the same plane grid the Fengjiang controller already uses. Validated on 5 real points, mean residual 4.4 mm.</t>
  </si>
  <si>
    <t xml:space="preserve">What each 'frame' in the workbook means</t>
  </si>
  <si>
    <t xml:space="preserve">WGS84 lat/lon</t>
  </si>
  <si>
    <t xml:space="preserve">What every GNSS receiver outputs natively. Decimal degrees. Same on every continent. Both the Fengjiang and the Sinan agree here to about 5–10 cm — that is RTK noise, normal.</t>
  </si>
  <si>
    <t xml:space="preserve">EPSG:2100 — PROJ default (current dog)</t>
  </si>
  <si>
    <t xml:space="preserve">The dog converts WGS84 lat/lon into Greek Grid Easting/Northing using PROJ's standard EPSG:4326 → EPSG:2100 transformation. This pipeline applies a simplified 3-parameter datum shift that is known to be ~1 m off from true cadastral coordinates anywhere in Greece. It is what record_epsg_waypoint.py writes into gnss_waypoints.txt today.</t>
  </si>
  <si>
    <t xml:space="preserve">ΕΓΣΑ87 — HEPOS-correct (Fengjiang controller)</t>
  </si>
  <si>
    <t xml:space="preserve">The Fengjiang controller does the same conversion BUT then also applies the HEPOS plane grid correction on top. Result: cadastrally accurate Greek Grid coordinates that match what surveyors and ΚΤΗΜΑΤΟΛΟΓΙΟ use. This is the column we want the dog to produce.</t>
  </si>
  <si>
    <t xml:space="preserve">Dog-saved file (gnss_waypoints.txt today)</t>
  </si>
  <si>
    <t xml:space="preserve">Same as PROJ default in spirit, but each row was the result of converting one specific GPGGA instant rather than a burst average — so it has a few cm of per-point GNSS scatter on top of the systematic ~1 m bias. Shown for reference / continuity.</t>
  </si>
  <si>
    <t xml:space="preserve">How to read each sheet (in tab order)</t>
  </si>
  <si>
    <t xml:space="preserve">▸ Source Data</t>
  </si>
  <si>
    <t xml:space="preserve">The raw numbers from the field. Three groups of columns: what Fengjiang exported (both lat/lon and the controller-displayed E/N), what Sinan streamed, and what the dog saved. No transformations applied here — this is ground truth as captured.</t>
  </si>
  <si>
    <t xml:space="preserve">▸ WGS84 Compare</t>
  </si>
  <si>
    <t xml:space="preserve">Fengjiang lat/lon vs. Sinan lat/lon side by side. Last column is the horizontal distance between the two readings, in cm. Green = under 10 cm = RTK noise = no problem.</t>
  </si>
  <si>
    <t xml:space="preserve">▸ EPSG2100 Frames</t>
  </si>
  <si>
    <t xml:space="preserve">The same 5 points in three projected frames at once. Orange = PROJ default (current dog). Green = HEPOS-correct (Fengjiang). Grey = dog-saved file. The last two columns show the grid correction the HEPOS pipeline added (in cm) at this site: roughly +38 cm East, +98 cm North.</t>
  </si>
  <si>
    <t xml:space="preserve">▸ HEPOS Validation</t>
  </si>
  <si>
    <t xml:space="preserve">The headline result. After applying the HEPOS grid on the dog, how close is it to the Fengjiang controller? Per-point residuals in the last column, in millimetres. Average and max at the bottom. Every point under 5 mm.</t>
  </si>
  <si>
    <t xml:space="preserve">▸ Summary</t>
  </si>
  <si>
    <t xml:space="preserve">One row per point, all four frames in one place. Useful for a quick visual scan.</t>
  </si>
  <si>
    <t xml:space="preserve">▸ README</t>
  </si>
  <si>
    <t xml:space="preserve">Full glossary of terms (WGS84, ΕΓΣΑ87, HTRS07, HEPOS, plane grid, etc.) for anyone who needs the background.</t>
  </si>
  <si>
    <t xml:space="preserve">Color key used throughout</t>
  </si>
  <si>
    <t xml:space="preserve">   Orange — PROJ default — biased by ~1 m. What the dog uses today.</t>
  </si>
  <si>
    <t xml:space="preserve">   Green — HEPOS-correct — what the dog should use. Cadastrally accurate to ~5 mm locally.</t>
  </si>
  <si>
    <t xml:space="preserve">   Grey — Dog-saved file or neutral data — for reference.</t>
  </si>
  <si>
    <t xml:space="preserve">   Light blue — Headers and summary rows.</t>
  </si>
  <si>
    <t xml:space="preserve">What this workbook is for</t>
  </si>
  <si>
    <t xml:space="preserve">Use this to verify the diagnosis before any code changes go in. The numbers in the HEPOS Validation sheet are the acceptance criteria: any future implementation of the HEPOS pipeline on the dog must reproduce these residuals on the same 5 points to be considered correct. If you change a grid file, an interpolation method, or the PROJ version on the dog, re-run against these 5 points first.</t>
  </si>
  <si>
    <t xml:space="preserve">If you are the surveyor: this workbook says your controller is working correctly and applying the HEPOS grid as expected. Please continue exporting points in WGS84 lat/lon (decimal degrees, ellipsoidal height). Avoid pasting the controller's Easting/Northing into the robot dog's files — let the dog do the projection so we always go through one consistent pipeline.</t>
  </si>
  <si>
    <t xml:space="preserve">If you are an engineer on the dog stack: see HEPOS_Coordinate_Transformation_Analysis.pdf for the full technical write-up and the same-day plan for putting the grid on the dog.</t>
  </si>
  <si>
    <t xml:space="preserve">KIEFER SA Robotics — BotBrain GNSS pipeline · Companion to issue_chapters_1_7.md (2026-04-30)</t>
  </si>
  <si>
    <t xml:space="preserve">HEPOS validation workbook</t>
  </si>
  <si>
    <t xml:space="preserve">5 points collected at Athens substation site, 2026-04-30</t>
  </si>
  <si>
    <t xml:space="preserve">Companion to issue_chapters_1_7.md and HEPOS_Coordinate_Transformation_Analysis.pdf</t>
  </si>
  <si>
    <t xml:space="preserve">WHAT THIS WORKBOOK SHOWS</t>
  </si>
  <si>
    <t xml:space="preserve">Goal</t>
  </si>
  <si>
    <t xml:space="preserve">Document the same 5 physical points as expressed in 4 different coordinate frames, and prove that applying the HEPOS plane grid to the dog's PROJ-default output reproduces the Fengjiang controller's displayed coordinates to within 5 mm.</t>
  </si>
  <si>
    <t xml:space="preserve">Sheets</t>
  </si>
  <si>
    <t xml:space="preserve">  1. README</t>
  </si>
  <si>
    <t xml:space="preserve">this page — definitions and context.</t>
  </si>
  <si>
    <t xml:space="preserve">  2. Source Data</t>
  </si>
  <si>
    <t xml:space="preserve">raw inputs as captured: Fengjiang lat/lon, Fengjiang plane E/N, Sinan mean lat/lon, dog-saved x/y.</t>
  </si>
  <si>
    <t xml:space="preserve">  3. WGS84 Compare</t>
  </si>
  <si>
    <t xml:space="preserve">lat/lon side-by-side from Fengjiang vs Sinan, with horizontal agreement in cm.</t>
  </si>
  <si>
    <t xml:space="preserve">  4. EPSG2100 Frames</t>
  </si>
  <si>
    <t xml:space="preserve">the same 5 points in three projected frames: PROJ default (current dog), HEPOS-correct ΕΓΣΑ87 (Fengjiang display, target), and dog-saved file (current gnss_waypoints.txt).</t>
  </si>
  <si>
    <t xml:space="preserve">  5. HEPOS Validation</t>
  </si>
  <si>
    <t xml:space="preserve">the headline result — residual of HEPOS-corrected dog vs Fengjiang display, all under 5 mm.</t>
  </si>
  <si>
    <t xml:space="preserve">  6. Summary</t>
  </si>
  <si>
    <t xml:space="preserve">one-line per-point summary of the four frames.</t>
  </si>
  <si>
    <t xml:space="preserve">DEFINITIONS</t>
  </si>
  <si>
    <t xml:space="preserve">WGS84 / EPSG:4326</t>
  </si>
  <si>
    <t xml:space="preserve">World Geodetic System 1984 — the global lat/lon datum used by GNSS receivers. Both Fengjiang and Sinan output in this frame natively.</t>
  </si>
  <si>
    <t xml:space="preserve">ΕΓΣΑ87 / GGRS87</t>
  </si>
  <si>
    <t xml:space="preserve">Greek Geodetic Reference System 1987 (Ελληνικό Γεωδαιτικό Σύστημα Αναφοράς '87). Greek national datum, GRS80 ellipsoid, origin at Dionysos. Same datum, two names (ΕΓΣΑ87 in Greek, GGRS87 in English/EPSG).</t>
  </si>
  <si>
    <t xml:space="preserve">EPSG:2100 / Greek Grid</t>
  </si>
  <si>
    <t xml:space="preserve">The projected form of ΕΓΣΑ87. Transverse Mercator, central meridian 24°E, scale 0.9996, false easting 500000, false northing 0.</t>
  </si>
  <si>
    <t xml:space="preserve">HTRS07</t>
  </si>
  <si>
    <t xml:space="preserve">Hellenic Terrestrial Reference System 2007 — modern geocentric datum aligned with ETRS89. What HEPOS broadcasts. Replaces GGRS87 for cadastral work but coexists with it.</t>
  </si>
  <si>
    <t xml:space="preserve">HEPOS</t>
  </si>
  <si>
    <t xml:space="preserve">Hellenic Positioning System — the Greek national CORS RTK network. Operated by KTIMATOLOGIO.</t>
  </si>
  <si>
    <t xml:space="preserve">HEPOS plane grid</t>
  </si>
  <si>
    <t xml:space="preserve">Two regular 2 km grids of corrections (dE, dN in cm) published by KTIMATOLOGIO, applied after the Helmert transformation to make GGRS87 cadastrally accurate (8.3 cm nationwide, ~5 mm locally).</t>
  </si>
  <si>
    <t xml:space="preserve">PROJ default</t>
  </si>
  <si>
    <t xml:space="preserve">What the dog computes today using EPSG:4326 → EPSG:2100 in PROJ. Uses the simplified 3-parameter Helmert from EPSG:1272 (stated accuracy ~1 m). Does NOT include the HEPOS plane grid.</t>
  </si>
  <si>
    <t xml:space="preserve">HEPOS-correct</t>
  </si>
  <si>
    <t xml:space="preserve">PROJ default + bilinear-interpolated HEPOS plane grid. What the Fengjiang controller produces internally. What the dog will produce after Route B is implemented.</t>
  </si>
  <si>
    <t xml:space="preserve">KEY RESULT</t>
  </si>
  <si>
    <t xml:space="preserve">Mean residual</t>
  </si>
  <si>
    <t xml:space="preserve">4.4 mm horizontal, computed as the distance between the dog's HEPOS-corrected EPSG:2100 result and the Fengjiang controller's displayed E/N, averaged over 5 points.</t>
  </si>
  <si>
    <t xml:space="preserve">Max residual</t>
  </si>
  <si>
    <t xml:space="preserve">4.7 mm horizontal.</t>
  </si>
  <si>
    <t xml:space="preserve">Interpretation</t>
  </si>
  <si>
    <t xml:space="preserve">RTK-noise floor. The HEPOS pipeline on the dog reproduces the Fengjiang controller's output to within receiver noise. Math is exact.</t>
  </si>
  <si>
    <t xml:space="preserve">Source data — as captured 2026-04-30</t>
  </si>
  <si>
    <t xml:space="preserve">Raw inputs from each instrument. No transformations applied here.</t>
  </si>
  <si>
    <t xml:space="preserve">Point</t>
  </si>
  <si>
    <t xml:space="preserve">Fengjiang RTK (CSV export)</t>
  </si>
  <si>
    <t xml:space="preserve">Fengjiang RTK (controller display)</t>
  </si>
  <si>
    <t xml:space="preserve">Sinan RTK (mean of GPGGA burst)</t>
  </si>
  <si>
    <t xml:space="preserve">Dog-saved EPSG:2100 (current file)</t>
  </si>
  <si>
    <t xml:space="preserve">pt</t>
  </si>
  <si>
    <t xml:space="preserve">lat (DMS)</t>
  </si>
  <si>
    <t xml:space="preserve">lon (DMS)</t>
  </si>
  <si>
    <t xml:space="preserve">lat (decimal)</t>
  </si>
  <si>
    <t xml:space="preserve">lon (decimal)</t>
  </si>
  <si>
    <t xml:space="preserve">ellips. h (m)</t>
  </si>
  <si>
    <t xml:space="preserve">Easting (m)</t>
  </si>
  <si>
    <t xml:space="preserve">Northing (m)</t>
  </si>
  <si>
    <t xml:space="preserve">x — Easting (m)</t>
  </si>
  <si>
    <t xml:space="preserve">y — Northing (m)</t>
  </si>
  <si>
    <t xml:space="preserve">pt1</t>
  </si>
  <si>
    <t xml:space="preserve">38°02'34.05564"</t>
  </si>
  <si>
    <t xml:space="preserve">23°47'31.06529"</t>
  </si>
  <si>
    <t xml:space="preserve">pt2</t>
  </si>
  <si>
    <t xml:space="preserve">38°02'33.99211"</t>
  </si>
  <si>
    <t xml:space="preserve">23°47'31.06660"</t>
  </si>
  <si>
    <t xml:space="preserve">pt3</t>
  </si>
  <si>
    <t xml:space="preserve">38°02'33.94451"</t>
  </si>
  <si>
    <t xml:space="preserve">23°47'31.12851"</t>
  </si>
  <si>
    <t xml:space="preserve">pt4</t>
  </si>
  <si>
    <t xml:space="preserve">38°02'34.07239"</t>
  </si>
  <si>
    <t xml:space="preserve">23°47'30.99106"</t>
  </si>
  <si>
    <t xml:space="preserve">pt5</t>
  </si>
  <si>
    <t xml:space="preserve">38°02'34.11705"</t>
  </si>
  <si>
    <t xml:space="preserve">23°47'30.92500"</t>
  </si>
  <si>
    <t xml:space="preserve">WGS84 lat/lon — Fengjiang vs Sinan</t>
  </si>
  <si>
    <t xml:space="preserve">Both receivers seeing the same physical point in the same global datum. Δ shown as horizontal distance in EPSG:2100 metres.</t>
  </si>
  <si>
    <t xml:space="preserve">Fengjiang lat (decimal)</t>
  </si>
  <si>
    <t xml:space="preserve">Fengjiang lon (decimal)</t>
  </si>
  <si>
    <t xml:space="preserve">Sinan lat (decimal)</t>
  </si>
  <si>
    <t xml:space="preserve">Sinan lon (decimal)</t>
  </si>
  <si>
    <t xml:space="preserve">Δ lat (×10⁶ deg)</t>
  </si>
  <si>
    <t xml:space="preserve">Δ lon (×10⁶ deg)</t>
  </si>
  <si>
    <t xml:space="preserve">Horizontal Δ (cm)</t>
  </si>
  <si>
    <t xml:space="preserve">Conclusion</t>
  </si>
  <si>
    <t xml:space="preserve">All Δ ≤ 10 cm. Pure RTK noise. Both receivers agree on lat/lon — there is no datum mismatch in the lat/lon domain.</t>
  </si>
  <si>
    <t xml:space="preserve">EPSG:2100 / ΕΓΣΑ87 — same points in three projected frames</t>
  </si>
  <si>
    <t xml:space="preserve">All three columns are nominally 'EPSG:2100' / 'ΕΓΣΑ87'. They differ in datum-shift accuracy.</t>
  </si>
  <si>
    <t xml:space="preserve">PROJ default (current dog)</t>
  </si>
  <si>
    <t xml:space="preserve">HEPOS-correct ΕΓΣΑ87 (Fengjiang display, target)</t>
  </si>
  <si>
    <t xml:space="preserve">Dog-saved file (gnss_waypoints.txt)</t>
  </si>
  <si>
    <t xml:space="preserve">Shift PROJ → HEPOS</t>
  </si>
  <si>
    <t xml:space="preserve">E (m)</t>
  </si>
  <si>
    <t xml:space="preserve">N (m)</t>
  </si>
  <si>
    <t xml:space="preserve">x (m)</t>
  </si>
  <si>
    <t xml:space="preserve">y (m)</t>
  </si>
  <si>
    <t xml:space="preserve">dE (cm)</t>
  </si>
  <si>
    <t xml:space="preserve">dN (cm)</t>
  </si>
  <si>
    <t xml:space="preserve">Legend</t>
  </si>
  <si>
    <t xml:space="preserve">PROJ default — uses simplified 3-param Helmert (EPSG:1272), stated accuracy ~1 m. The dog computes this today.</t>
  </si>
  <si>
    <t xml:space="preserve">HEPOS-correct — what the Fengjiang controller displays. What the dog will produce after Route B.</t>
  </si>
  <si>
    <t xml:space="preserve">Dog-saved file — what gnss_waypoints.txt currently holds (PROJ-default + per-point GPGGA noise).</t>
  </si>
  <si>
    <t xml:space="preserve">HEPOS validation — residual after grid correction</t>
  </si>
  <si>
    <t xml:space="preserve">Mean residual: 4.4 mm. Max residual: 4.7 mm. Validated against 5 ground-truth points.</t>
  </si>
  <si>
    <t xml:space="preserve">HEPOS-correct E (m)</t>
  </si>
  <si>
    <t xml:space="preserve">HEPOS-correct N (m)</t>
  </si>
  <si>
    <t xml:space="preserve">Fengjiang display E (m)</t>
  </si>
  <si>
    <t xml:space="preserve">Fengjiang display N (m)</t>
  </si>
  <si>
    <t xml:space="preserve">ΔE (m)</t>
  </si>
  <si>
    <t xml:space="preserve">ΔN (m)</t>
  </si>
  <si>
    <t xml:space="preserve">Horizontal residual (mm)</t>
  </si>
  <si>
    <t xml:space="preserve">Mean</t>
  </si>
  <si>
    <t xml:space="preserve">Max abs</t>
  </si>
  <si>
    <t xml:space="preserve">Std dev</t>
  </si>
  <si>
    <t xml:space="preserve">The HEPOS plane grid correction reproduces the Fengjiang controller's displayed E/N to within RTK noise. The dog can be made cadastrally accurate today.</t>
  </si>
  <si>
    <t xml:space="preserve">One-line per-point summary</t>
  </si>
  <si>
    <t xml:space="preserve">All values in metres unless marked. Frame definitions on the README sheet.</t>
  </si>
  <si>
    <t xml:space="preserve">WGS84 lat</t>
  </si>
  <si>
    <t xml:space="preserve">WGS84 lon</t>
  </si>
  <si>
    <t xml:space="preserve">Ellips. h (m)</t>
  </si>
  <si>
    <t xml:space="preserve">PROJ default E</t>
  </si>
  <si>
    <t xml:space="preserve">PROJ default N</t>
  </si>
  <si>
    <t xml:space="preserve">HEPOS E</t>
  </si>
  <si>
    <t xml:space="preserve">HEPOS N</t>
  </si>
  <si>
    <t xml:space="preserve">FJ display E</t>
  </si>
  <si>
    <t xml:space="preserve">FJ display N</t>
  </si>
  <si>
    <t xml:space="preserve">Residual (mm)</t>
  </si>
</sst>
</file>

<file path=xl/styles.xml><?xml version="1.0" encoding="utf-8"?>
<styleSheet xmlns="http://schemas.openxmlformats.org/spreadsheetml/2006/main">
  <numFmts count="6">
    <numFmt numFmtId="164" formatCode="General"/>
    <numFmt numFmtId="165" formatCode="0.00000000"/>
    <numFmt numFmtId="166" formatCode="0.000"/>
    <numFmt numFmtId="167" formatCode="\+0.00;\-0.00"/>
    <numFmt numFmtId="168" formatCode="0.00"/>
    <numFmt numFmtId="169" formatCode="\+0.0000;\-0.0000"/>
  </numFmts>
  <fonts count="22">
    <font>
      <sz val="11"/>
      <color theme="1"/>
      <name val="Calibri"/>
      <family val="2"/>
      <charset val="1"/>
    </font>
    <font>
      <sz val="10"/>
      <name val="Arial"/>
      <family val="0"/>
    </font>
    <font>
      <sz val="10"/>
      <name val="Arial"/>
      <family val="0"/>
    </font>
    <font>
      <sz val="10"/>
      <name val="Arial"/>
      <family val="0"/>
    </font>
    <font>
      <b val="true"/>
      <sz val="22"/>
      <color rgb="FF1F4E79"/>
      <name val="Arial"/>
      <family val="0"/>
      <charset val="1"/>
    </font>
    <font>
      <i val="true"/>
      <sz val="11"/>
      <color rgb="FF595959"/>
      <name val="Arial"/>
      <family val="0"/>
      <charset val="1"/>
    </font>
    <font>
      <sz val="10"/>
      <color rgb="FF595959"/>
      <name val="Arial"/>
      <family val="0"/>
      <charset val="1"/>
    </font>
    <font>
      <b val="true"/>
      <sz val="13"/>
      <color rgb="FF1F4E79"/>
      <name val="Arial"/>
      <family val="0"/>
      <charset val="1"/>
    </font>
    <font>
      <sz val="11"/>
      <name val="Arial"/>
      <family val="0"/>
      <charset val="1"/>
    </font>
    <font>
      <b val="true"/>
      <sz val="12"/>
      <color rgb="FF1F4E79"/>
      <name val="Arial"/>
      <family val="0"/>
      <charset val="1"/>
    </font>
    <font>
      <b val="true"/>
      <sz val="11"/>
      <color rgb="FF1F4E79"/>
      <name val="Arial"/>
      <family val="0"/>
      <charset val="1"/>
    </font>
    <font>
      <b val="true"/>
      <sz val="11"/>
      <name val="Arial"/>
      <family val="0"/>
      <charset val="1"/>
    </font>
    <font>
      <i val="true"/>
      <sz val="9"/>
      <color rgb="FF595959"/>
      <name val="Arial"/>
      <family val="0"/>
      <charset val="1"/>
    </font>
    <font>
      <b val="true"/>
      <sz val="16"/>
      <color rgb="FF1F4E79"/>
      <name val="Arial"/>
      <family val="0"/>
      <charset val="1"/>
    </font>
    <font>
      <i val="true"/>
      <sz val="10"/>
      <color rgb="FF595959"/>
      <name val="Arial"/>
      <family val="0"/>
      <charset val="1"/>
    </font>
    <font>
      <sz val="10"/>
      <name val="Arial"/>
      <family val="0"/>
      <charset val="1"/>
    </font>
    <font>
      <b val="true"/>
      <sz val="10"/>
      <name val="Arial"/>
      <family val="0"/>
      <charset val="1"/>
    </font>
    <font>
      <b val="true"/>
      <sz val="11"/>
      <color rgb="FFFFFFFF"/>
      <name val="Arial"/>
      <family val="0"/>
      <charset val="1"/>
    </font>
    <font>
      <sz val="10"/>
      <name val="Consolas"/>
      <family val="0"/>
      <charset val="1"/>
    </font>
    <font>
      <i val="true"/>
      <sz val="10"/>
      <name val="Arial"/>
      <family val="0"/>
      <charset val="1"/>
    </font>
    <font>
      <b val="true"/>
      <sz val="10"/>
      <name val="Consolas"/>
      <family val="0"/>
      <charset val="1"/>
    </font>
    <font>
      <i val="true"/>
      <sz val="11"/>
      <color rgb="FF1F4E79"/>
      <name val="Arial"/>
      <family val="0"/>
      <charset val="1"/>
    </font>
  </fonts>
  <fills count="8">
    <fill>
      <patternFill patternType="none"/>
    </fill>
    <fill>
      <patternFill patternType="gray125"/>
    </fill>
    <fill>
      <patternFill patternType="solid">
        <fgColor rgb="FFFFF8E1"/>
        <bgColor rgb="FFF2F2F2"/>
      </patternFill>
    </fill>
    <fill>
      <patternFill patternType="solid">
        <fgColor rgb="FFFCE4D6"/>
        <bgColor rgb="FFF2F2F2"/>
      </patternFill>
    </fill>
    <fill>
      <patternFill patternType="solid">
        <fgColor rgb="FFE2EFDA"/>
        <bgColor rgb="FFD5E8F0"/>
      </patternFill>
    </fill>
    <fill>
      <patternFill patternType="solid">
        <fgColor rgb="FFF2F2F2"/>
        <bgColor rgb="FFFFF8E1"/>
      </patternFill>
    </fill>
    <fill>
      <patternFill patternType="solid">
        <fgColor rgb="FFD5E8F0"/>
        <bgColor rgb="FFE2EFDA"/>
      </patternFill>
    </fill>
    <fill>
      <patternFill patternType="solid">
        <fgColor rgb="FF1F4E79"/>
        <bgColor rgb="FF003366"/>
      </patternFill>
    </fill>
  </fills>
  <borders count="6">
    <border diagonalUp="false" diagonalDown="false">
      <left/>
      <right/>
      <top/>
      <bottom/>
      <diagonal/>
    </border>
    <border diagonalUp="false" diagonalDown="false">
      <left/>
      <right/>
      <top/>
      <bottom style="medium">
        <color rgb="FF1F4E79"/>
      </bottom>
      <diagonal/>
    </border>
    <border diagonalUp="false" diagonalDown="false">
      <left style="medium">
        <color rgb="FF1F4E79"/>
      </left>
      <right style="medium">
        <color rgb="FF1F4E79"/>
      </right>
      <top style="medium">
        <color rgb="FF1F4E79"/>
      </top>
      <bottom style="medium">
        <color rgb="FF1F4E79"/>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color rgb="FF1F4E79"/>
      </top>
      <bottom/>
      <diagonal/>
    </border>
    <border diagonalUp="false" diagonalDown="false">
      <left style="thin">
        <color rgb="FFBFBFBF"/>
      </left>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left"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top" textRotation="0" wrapText="true" indent="0" shrinkToFit="false"/>
      <protection locked="true" hidden="false"/>
    </xf>
    <xf numFmtId="164" fontId="9" fillId="2" borderId="2"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top" textRotation="0" wrapText="true" indent="2" shrinkToFit="false"/>
      <protection locked="true" hidden="false"/>
    </xf>
    <xf numFmtId="164" fontId="8" fillId="3" borderId="3" xfId="0" applyFont="true" applyBorder="true" applyAlignment="true" applyProtection="false">
      <alignment horizontal="left" vertical="center" textRotation="0" wrapText="false" indent="1" shrinkToFit="false"/>
      <protection locked="true" hidden="false"/>
    </xf>
    <xf numFmtId="164" fontId="8" fillId="4" borderId="3" xfId="0" applyFont="true" applyBorder="true" applyAlignment="true" applyProtection="false">
      <alignment horizontal="left" vertical="center" textRotation="0" wrapText="false" indent="1" shrinkToFit="false"/>
      <protection locked="true" hidden="false"/>
    </xf>
    <xf numFmtId="164" fontId="8" fillId="5" borderId="3" xfId="0" applyFont="true" applyBorder="true" applyAlignment="true" applyProtection="false">
      <alignment horizontal="left" vertical="center" textRotation="0" wrapText="false" indent="1" shrinkToFit="false"/>
      <protection locked="true" hidden="false"/>
    </xf>
    <xf numFmtId="164" fontId="8" fillId="6" borderId="3" xfId="0" applyFont="true" applyBorder="true" applyAlignment="true" applyProtection="false">
      <alignment horizontal="left" vertical="center" textRotation="0" wrapText="false" indent="1" shrinkToFit="false"/>
      <protection locked="true" hidden="false"/>
    </xf>
    <xf numFmtId="164" fontId="12" fillId="0" borderId="4" xfId="0" applyFont="true" applyBorder="tru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top" textRotation="0" wrapText="true" indent="0" shrinkToFit="false"/>
      <protection locked="true" hidden="false"/>
    </xf>
    <xf numFmtId="164" fontId="10" fillId="6" borderId="0" xfId="0" applyFont="true" applyBorder="false" applyAlignment="true" applyProtection="false">
      <alignment horizontal="left" vertical="top" textRotation="0" wrapText="true" indent="0" shrinkToFit="false"/>
      <protection locked="true" hidden="false"/>
    </xf>
    <xf numFmtId="164" fontId="15" fillId="6" borderId="0" xfId="0" applyFont="true" applyBorder="fals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7" borderId="3" xfId="0" applyFont="true" applyBorder="true" applyAlignment="true" applyProtection="false">
      <alignment horizontal="center" vertical="center" textRotation="0" wrapText="true" indent="0" shrinkToFit="false"/>
      <protection locked="true" hidden="false"/>
    </xf>
    <xf numFmtId="164" fontId="17" fillId="7" borderId="5" xfId="0" applyFont="true" applyBorder="true" applyAlignment="true" applyProtection="false">
      <alignment horizontal="center" vertical="center" textRotation="0" wrapText="true" indent="0" shrinkToFit="false"/>
      <protection locked="true" hidden="false"/>
    </xf>
    <xf numFmtId="164" fontId="16" fillId="6" borderId="3"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left" vertical="center" textRotation="0" wrapText="false" indent="0" shrinkToFit="false"/>
      <protection locked="true" hidden="false"/>
    </xf>
    <xf numFmtId="164" fontId="18" fillId="0" borderId="3" xfId="0" applyFont="true" applyBorder="true" applyAlignment="true" applyProtection="false">
      <alignment horizontal="left" vertical="bottom" textRotation="0" wrapText="false" indent="0" shrinkToFit="false"/>
      <protection locked="true" hidden="false"/>
    </xf>
    <xf numFmtId="165" fontId="18" fillId="0" borderId="3" xfId="0" applyFont="true" applyBorder="true" applyAlignment="true" applyProtection="false">
      <alignment horizontal="right" vertical="center" textRotation="0" wrapText="false" indent="0" shrinkToFit="false"/>
      <protection locked="true" hidden="false"/>
    </xf>
    <xf numFmtId="166" fontId="18" fillId="0" borderId="3" xfId="0" applyFont="true" applyBorder="true" applyAlignment="true" applyProtection="false">
      <alignment horizontal="right" vertical="center" textRotation="0" wrapText="false" indent="0" shrinkToFit="false"/>
      <protection locked="true" hidden="false"/>
    </xf>
    <xf numFmtId="167" fontId="18" fillId="0" borderId="3" xfId="0" applyFont="true" applyBorder="true" applyAlignment="true" applyProtection="false">
      <alignment horizontal="right" vertical="center" textRotation="0" wrapText="false" indent="0" shrinkToFit="false"/>
      <protection locked="true" hidden="false"/>
    </xf>
    <xf numFmtId="168" fontId="18" fillId="4" borderId="3" xfId="0" applyFont="true" applyBorder="true" applyAlignment="true" applyProtection="false">
      <alignment horizontal="right"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center" textRotation="0" wrapText="true" indent="0" shrinkToFit="false"/>
      <protection locked="true" hidden="false"/>
    </xf>
    <xf numFmtId="166" fontId="18" fillId="3" borderId="3" xfId="0" applyFont="true" applyBorder="true" applyAlignment="true" applyProtection="false">
      <alignment horizontal="right" vertical="center" textRotation="0" wrapText="false" indent="0" shrinkToFit="false"/>
      <protection locked="true" hidden="false"/>
    </xf>
    <xf numFmtId="166" fontId="18" fillId="4" borderId="3" xfId="0" applyFont="true" applyBorder="true" applyAlignment="true" applyProtection="false">
      <alignment horizontal="right" vertical="center" textRotation="0" wrapText="false" indent="0" shrinkToFit="false"/>
      <protection locked="true" hidden="false"/>
    </xf>
    <xf numFmtId="166" fontId="18" fillId="5" borderId="3" xfId="0" applyFont="true" applyBorder="true" applyAlignment="true" applyProtection="false">
      <alignment horizontal="right" vertical="center" textRotation="0" wrapText="false" indent="0" shrinkToFit="false"/>
      <protection locked="true" hidden="false"/>
    </xf>
    <xf numFmtId="164" fontId="10" fillId="6" borderId="0" xfId="0" applyFont="true" applyBorder="false" applyAlignment="true" applyProtection="false">
      <alignment horizontal="general" vertical="bottom" textRotation="0" wrapText="false" indent="0" shrinkToFit="false"/>
      <protection locked="true" hidden="false"/>
    </xf>
    <xf numFmtId="164" fontId="15" fillId="3" borderId="3" xfId="0" applyFont="true" applyBorder="true" applyAlignment="true" applyProtection="false">
      <alignment horizontal="general" vertical="bottom" textRotation="0" wrapText="false" indent="0" shrinkToFit="false"/>
      <protection locked="true" hidden="false"/>
    </xf>
    <xf numFmtId="164" fontId="15" fillId="0" borderId="0" xfId="0" applyFont="true" applyBorder="true" applyAlignment="true" applyProtection="false">
      <alignment horizontal="left" vertical="center" textRotation="0" wrapText="true" indent="0" shrinkToFit="false"/>
      <protection locked="true" hidden="false"/>
    </xf>
    <xf numFmtId="164" fontId="15" fillId="4" borderId="3" xfId="0" applyFont="true" applyBorder="true" applyAlignment="true" applyProtection="false">
      <alignment horizontal="general" vertical="bottom" textRotation="0" wrapText="false" indent="0" shrinkToFit="false"/>
      <protection locked="true" hidden="false"/>
    </xf>
    <xf numFmtId="164" fontId="15" fillId="5" borderId="3" xfId="0" applyFont="true" applyBorder="true" applyAlignment="true" applyProtection="false">
      <alignment horizontal="general" vertical="bottom" textRotation="0" wrapText="false" indent="0" shrinkToFit="false"/>
      <protection locked="true" hidden="false"/>
    </xf>
    <xf numFmtId="169" fontId="18" fillId="0" borderId="3" xfId="0" applyFont="true" applyBorder="true" applyAlignment="true" applyProtection="false">
      <alignment horizontal="right" vertical="center" textRotation="0" wrapText="false" indent="0" shrinkToFit="false"/>
      <protection locked="true" hidden="false"/>
    </xf>
    <xf numFmtId="168" fontId="20" fillId="4" borderId="3" xfId="0" applyFont="true" applyBorder="true" applyAlignment="true" applyProtection="false">
      <alignment horizontal="right" vertical="center" textRotation="0" wrapText="false" indent="0" shrinkToFit="false"/>
      <protection locked="true" hidden="false"/>
    </xf>
    <xf numFmtId="164" fontId="16" fillId="6" borderId="3" xfId="0" applyFont="true" applyBorder="true" applyAlignment="true" applyProtection="false">
      <alignment horizontal="left" vertical="center" textRotation="0" wrapText="false" indent="0" shrinkToFit="false"/>
      <protection locked="true" hidden="false"/>
    </xf>
    <xf numFmtId="169" fontId="18" fillId="6" borderId="3" xfId="0" applyFont="true" applyBorder="true" applyAlignment="true" applyProtection="false">
      <alignment horizontal="right" vertical="center" textRotation="0" wrapText="false" indent="0" shrinkToFit="false"/>
      <protection locked="true" hidden="false"/>
    </xf>
    <xf numFmtId="168" fontId="18" fillId="6" borderId="3" xfId="0" applyFont="true" applyBorder="true" applyAlignment="true" applyProtection="false">
      <alignment horizontal="right" vertical="center" textRotation="0" wrapText="false" indent="0" shrinkToFit="false"/>
      <protection locked="true" hidden="false"/>
    </xf>
    <xf numFmtId="164" fontId="9" fillId="4" borderId="0" xfId="0" applyFont="true" applyBorder="false" applyAlignment="true" applyProtection="false">
      <alignment horizontal="general" vertical="bottom" textRotation="0" wrapText="false" indent="0" shrinkToFit="false"/>
      <protection locked="true" hidden="false"/>
    </xf>
    <xf numFmtId="164" fontId="21" fillId="4"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8E1"/>
      <rgbColor rgb="FFD5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2F2"/>
      <rgbColor rgb="FFE2EFDA"/>
      <rgbColor rgb="FFFFFF99"/>
      <rgbColor rgb="FF99CCFF"/>
      <rgbColor rgb="FFFF99CC"/>
      <rgbColor rgb="FFCC99FF"/>
      <rgbColor rgb="FFFCE4D6"/>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B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1" customFormat="false" ht="26.8" hidden="false" customHeight="false" outlineLevel="0" collapsed="false">
      <c r="B1" s="1" t="s">
        <v>0</v>
      </c>
    </row>
    <row r="2" customFormat="false" ht="15" hidden="false" customHeight="false" outlineLevel="0" collapsed="false">
      <c r="B2" s="2" t="s">
        <v>1</v>
      </c>
    </row>
    <row r="3" customFormat="false" ht="21.75" hidden="false" customHeight="true" outlineLevel="0" collapsed="false">
      <c r="B3" s="3" t="s">
        <v>2</v>
      </c>
    </row>
    <row r="5" customFormat="false" ht="25.5" hidden="false" customHeight="true" outlineLevel="0" collapsed="false">
      <c r="B5" s="4" t="s">
        <v>3</v>
      </c>
    </row>
    <row r="6" customFormat="false" ht="60" hidden="false" customHeight="true" outlineLevel="0" collapsed="false">
      <c r="B6" s="5" t="s">
        <v>4</v>
      </c>
    </row>
    <row r="7" customFormat="false" ht="60" hidden="false" customHeight="true" outlineLevel="0" collapsed="false">
      <c r="B7" s="5" t="s">
        <v>5</v>
      </c>
    </row>
    <row r="9" customFormat="false" ht="37.5" hidden="false" customHeight="true" outlineLevel="0" collapsed="false">
      <c r="B9" s="6" t="s">
        <v>6</v>
      </c>
    </row>
    <row r="11" customFormat="false" ht="25.5" hidden="false" customHeight="true" outlineLevel="0" collapsed="false">
      <c r="B11" s="4" t="s">
        <v>7</v>
      </c>
    </row>
    <row r="12" customFormat="false" ht="21.75" hidden="false" customHeight="true" outlineLevel="0" collapsed="false">
      <c r="B12" s="7" t="s">
        <v>8</v>
      </c>
    </row>
    <row r="13" customFormat="false" ht="60" hidden="false" customHeight="true" outlineLevel="0" collapsed="false">
      <c r="B13" s="5" t="s">
        <v>9</v>
      </c>
    </row>
    <row r="14" customFormat="false" ht="21.75" hidden="false" customHeight="true" outlineLevel="0" collapsed="false">
      <c r="B14" s="7" t="s">
        <v>10</v>
      </c>
    </row>
    <row r="15" customFormat="false" ht="60" hidden="false" customHeight="true" outlineLevel="0" collapsed="false">
      <c r="B15" s="5" t="s">
        <v>11</v>
      </c>
    </row>
    <row r="16" customFormat="false" ht="21.75" hidden="false" customHeight="true" outlineLevel="0" collapsed="false">
      <c r="B16" s="7" t="s">
        <v>12</v>
      </c>
    </row>
    <row r="17" customFormat="false" ht="60" hidden="false" customHeight="true" outlineLevel="0" collapsed="false">
      <c r="B17" s="5" t="s">
        <v>13</v>
      </c>
    </row>
    <row r="18" customFormat="false" ht="21.75" hidden="false" customHeight="true" outlineLevel="0" collapsed="false">
      <c r="B18" s="7" t="s">
        <v>14</v>
      </c>
    </row>
    <row r="19" customFormat="false" ht="60" hidden="false" customHeight="true" outlineLevel="0" collapsed="false">
      <c r="B19" s="5" t="s">
        <v>15</v>
      </c>
    </row>
    <row r="21" customFormat="false" ht="25.5" hidden="false" customHeight="true" outlineLevel="0" collapsed="false">
      <c r="B21" s="4" t="s">
        <v>16</v>
      </c>
    </row>
    <row r="22" customFormat="false" ht="15" hidden="false" customHeight="false" outlineLevel="0" collapsed="false">
      <c r="B22" s="8" t="s">
        <v>17</v>
      </c>
    </row>
    <row r="23" customFormat="false" ht="49.5" hidden="false" customHeight="true" outlineLevel="0" collapsed="false">
      <c r="B23" s="9" t="s">
        <v>18</v>
      </c>
    </row>
    <row r="24" customFormat="false" ht="15" hidden="false" customHeight="false" outlineLevel="0" collapsed="false">
      <c r="B24" s="8" t="s">
        <v>19</v>
      </c>
    </row>
    <row r="25" customFormat="false" ht="49.5" hidden="false" customHeight="true" outlineLevel="0" collapsed="false">
      <c r="B25" s="9" t="s">
        <v>20</v>
      </c>
    </row>
    <row r="26" customFormat="false" ht="15" hidden="false" customHeight="false" outlineLevel="0" collapsed="false">
      <c r="B26" s="8" t="s">
        <v>21</v>
      </c>
    </row>
    <row r="27" customFormat="false" ht="49.5" hidden="false" customHeight="true" outlineLevel="0" collapsed="false">
      <c r="B27" s="9" t="s">
        <v>22</v>
      </c>
    </row>
    <row r="28" customFormat="false" ht="15" hidden="false" customHeight="false" outlineLevel="0" collapsed="false">
      <c r="B28" s="8" t="s">
        <v>23</v>
      </c>
    </row>
    <row r="29" customFormat="false" ht="49.5" hidden="false" customHeight="true" outlineLevel="0" collapsed="false">
      <c r="B29" s="9" t="s">
        <v>24</v>
      </c>
    </row>
    <row r="30" customFormat="false" ht="15" hidden="false" customHeight="false" outlineLevel="0" collapsed="false">
      <c r="B30" s="8" t="s">
        <v>25</v>
      </c>
    </row>
    <row r="31" customFormat="false" ht="49.5" hidden="false" customHeight="true" outlineLevel="0" collapsed="false">
      <c r="B31" s="9" t="s">
        <v>26</v>
      </c>
    </row>
    <row r="32" customFormat="false" ht="15" hidden="false" customHeight="false" outlineLevel="0" collapsed="false">
      <c r="B32" s="8" t="s">
        <v>27</v>
      </c>
    </row>
    <row r="33" customFormat="false" ht="49.5" hidden="false" customHeight="true" outlineLevel="0" collapsed="false">
      <c r="B33" s="9" t="s">
        <v>28</v>
      </c>
    </row>
    <row r="35" customFormat="false" ht="25.5" hidden="false" customHeight="true" outlineLevel="0" collapsed="false">
      <c r="B35" s="4" t="s">
        <v>29</v>
      </c>
    </row>
    <row r="36" customFormat="false" ht="21.75" hidden="false" customHeight="true" outlineLevel="0" collapsed="false">
      <c r="B36" s="10" t="s">
        <v>30</v>
      </c>
    </row>
    <row r="37" customFormat="false" ht="21.75" hidden="false" customHeight="true" outlineLevel="0" collapsed="false">
      <c r="B37" s="11" t="s">
        <v>31</v>
      </c>
    </row>
    <row r="38" customFormat="false" ht="21.75" hidden="false" customHeight="true" outlineLevel="0" collapsed="false">
      <c r="B38" s="12" t="s">
        <v>32</v>
      </c>
    </row>
    <row r="39" customFormat="false" ht="21.75" hidden="false" customHeight="true" outlineLevel="0" collapsed="false">
      <c r="B39" s="13" t="s">
        <v>33</v>
      </c>
    </row>
    <row r="41" customFormat="false" ht="25.5" hidden="false" customHeight="true" outlineLevel="0" collapsed="false">
      <c r="B41" s="4" t="s">
        <v>34</v>
      </c>
    </row>
    <row r="42" customFormat="false" ht="75" hidden="false" customHeight="true" outlineLevel="0" collapsed="false">
      <c r="B42" s="5" t="s">
        <v>35</v>
      </c>
    </row>
    <row r="43" customFormat="false" ht="75" hidden="false" customHeight="true" outlineLevel="0" collapsed="false">
      <c r="B43" s="5" t="s">
        <v>36</v>
      </c>
    </row>
    <row r="44" customFormat="false" ht="37.5" hidden="false" customHeight="true" outlineLevel="0" collapsed="false">
      <c r="B44" s="5" t="s">
        <v>37</v>
      </c>
    </row>
    <row r="46" customFormat="false" ht="19.5" hidden="false" customHeight="true" outlineLevel="0" collapsed="false">
      <c r="B46" s="14" t="s">
        <v>38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5" width="32"/>
    <col collapsed="false" customWidth="true" hidden="false" outlineLevel="0" max="2" min="2" style="15" width="90"/>
  </cols>
  <sheetData>
    <row r="1" customFormat="false" ht="19.5" hidden="false" customHeight="true" outlineLevel="0" collapsed="false">
      <c r="A1" s="16" t="s">
        <v>39</v>
      </c>
    </row>
    <row r="2" customFormat="false" ht="15" hidden="false" customHeight="true" outlineLevel="0" collapsed="false">
      <c r="A2" s="17" t="s">
        <v>40</v>
      </c>
    </row>
    <row r="3" customFormat="false" ht="15" hidden="false" customHeight="true" outlineLevel="0" collapsed="false">
      <c r="A3" s="17" t="s">
        <v>41</v>
      </c>
    </row>
    <row r="4" customFormat="false" ht="15" hidden="false" customHeight="true" outlineLevel="0" collapsed="false">
      <c r="A4" s="18"/>
      <c r="B4" s="18"/>
    </row>
    <row r="5" customFormat="false" ht="26.25" hidden="false" customHeight="true" outlineLevel="0" collapsed="false">
      <c r="A5" s="19" t="s">
        <v>42</v>
      </c>
      <c r="B5" s="20"/>
    </row>
    <row r="6" customFormat="false" ht="15" hidden="false" customHeight="true" outlineLevel="0" collapsed="false">
      <c r="A6" s="18"/>
      <c r="B6" s="18"/>
    </row>
    <row r="7" customFormat="false" ht="34.5" hidden="false" customHeight="true" outlineLevel="0" collapsed="false">
      <c r="A7" s="21" t="s">
        <v>43</v>
      </c>
      <c r="B7" s="18" t="s">
        <v>44</v>
      </c>
    </row>
    <row r="8" customFormat="false" ht="15" hidden="false" customHeight="true" outlineLevel="0" collapsed="false">
      <c r="A8" s="18"/>
      <c r="B8" s="18"/>
    </row>
    <row r="9" customFormat="false" ht="15" hidden="false" customHeight="true" outlineLevel="0" collapsed="false">
      <c r="A9" s="21" t="s">
        <v>45</v>
      </c>
      <c r="B9" s="18"/>
    </row>
    <row r="10" customFormat="false" ht="15" hidden="false" customHeight="true" outlineLevel="0" collapsed="false">
      <c r="A10" s="18" t="s">
        <v>46</v>
      </c>
      <c r="B10" s="18" t="s">
        <v>47</v>
      </c>
    </row>
    <row r="11" customFormat="false" ht="15" hidden="false" customHeight="true" outlineLevel="0" collapsed="false">
      <c r="A11" s="18" t="s">
        <v>48</v>
      </c>
      <c r="B11" s="18" t="s">
        <v>49</v>
      </c>
    </row>
    <row r="12" customFormat="false" ht="15" hidden="false" customHeight="true" outlineLevel="0" collapsed="false">
      <c r="A12" s="18" t="s">
        <v>50</v>
      </c>
      <c r="B12" s="18" t="s">
        <v>51</v>
      </c>
    </row>
    <row r="13" customFormat="false" ht="23.25" hidden="false" customHeight="true" outlineLevel="0" collapsed="false">
      <c r="A13" s="18" t="s">
        <v>52</v>
      </c>
      <c r="B13" s="18" t="s">
        <v>53</v>
      </c>
    </row>
    <row r="14" customFormat="false" ht="15" hidden="false" customHeight="true" outlineLevel="0" collapsed="false">
      <c r="A14" s="18" t="s">
        <v>54</v>
      </c>
      <c r="B14" s="18" t="s">
        <v>55</v>
      </c>
    </row>
    <row r="15" customFormat="false" ht="15" hidden="false" customHeight="true" outlineLevel="0" collapsed="false">
      <c r="A15" s="18" t="s">
        <v>56</v>
      </c>
      <c r="B15" s="18" t="s">
        <v>57</v>
      </c>
    </row>
    <row r="16" customFormat="false" ht="15" hidden="false" customHeight="true" outlineLevel="0" collapsed="false">
      <c r="A16" s="18"/>
      <c r="B16" s="18"/>
    </row>
    <row r="17" customFormat="false" ht="15" hidden="false" customHeight="true" outlineLevel="0" collapsed="false">
      <c r="A17" s="19" t="s">
        <v>58</v>
      </c>
      <c r="B17" s="20"/>
    </row>
    <row r="18" customFormat="false" ht="15" hidden="false" customHeight="true" outlineLevel="0" collapsed="false">
      <c r="A18" s="18"/>
      <c r="B18" s="18"/>
    </row>
    <row r="19" customFormat="false" ht="23.25" hidden="false" customHeight="true" outlineLevel="0" collapsed="false">
      <c r="A19" s="21" t="s">
        <v>59</v>
      </c>
      <c r="B19" s="18" t="s">
        <v>60</v>
      </c>
    </row>
    <row r="20" customFormat="false" ht="23.25" hidden="false" customHeight="true" outlineLevel="0" collapsed="false">
      <c r="A20" s="21" t="s">
        <v>61</v>
      </c>
      <c r="B20" s="18" t="s">
        <v>62</v>
      </c>
    </row>
    <row r="21" customFormat="false" ht="23.25" hidden="false" customHeight="true" outlineLevel="0" collapsed="false">
      <c r="A21" s="21" t="s">
        <v>63</v>
      </c>
      <c r="B21" s="18" t="s">
        <v>64</v>
      </c>
    </row>
    <row r="22" customFormat="false" ht="23.25" hidden="false" customHeight="true" outlineLevel="0" collapsed="false">
      <c r="A22" s="21" t="s">
        <v>65</v>
      </c>
      <c r="B22" s="18" t="s">
        <v>66</v>
      </c>
    </row>
    <row r="23" customFormat="false" ht="15" hidden="false" customHeight="true" outlineLevel="0" collapsed="false">
      <c r="A23" s="21" t="s">
        <v>67</v>
      </c>
      <c r="B23" s="18" t="s">
        <v>68</v>
      </c>
    </row>
    <row r="24" customFormat="false" ht="23.25" hidden="false" customHeight="true" outlineLevel="0" collapsed="false">
      <c r="A24" s="21" t="s">
        <v>69</v>
      </c>
      <c r="B24" s="18" t="s">
        <v>70</v>
      </c>
    </row>
    <row r="25" customFormat="false" ht="23.25" hidden="false" customHeight="true" outlineLevel="0" collapsed="false">
      <c r="A25" s="21" t="s">
        <v>71</v>
      </c>
      <c r="B25" s="18" t="s">
        <v>72</v>
      </c>
    </row>
    <row r="26" customFormat="false" ht="23.25" hidden="false" customHeight="true" outlineLevel="0" collapsed="false">
      <c r="A26" s="21" t="s">
        <v>73</v>
      </c>
      <c r="B26" s="18" t="s">
        <v>74</v>
      </c>
    </row>
    <row r="27" customFormat="false" ht="15" hidden="false" customHeight="true" outlineLevel="0" collapsed="false">
      <c r="A27" s="18"/>
      <c r="B27" s="18"/>
    </row>
    <row r="28" customFormat="false" ht="15" hidden="false" customHeight="true" outlineLevel="0" collapsed="false">
      <c r="A28" s="19" t="s">
        <v>75</v>
      </c>
      <c r="B28" s="20"/>
    </row>
    <row r="29" customFormat="false" ht="15" hidden="false" customHeight="true" outlineLevel="0" collapsed="false">
      <c r="A29" s="18"/>
      <c r="B29" s="18"/>
    </row>
    <row r="30" customFormat="false" ht="23.25" hidden="false" customHeight="true" outlineLevel="0" collapsed="false">
      <c r="A30" s="21" t="s">
        <v>76</v>
      </c>
      <c r="B30" s="18" t="s">
        <v>77</v>
      </c>
    </row>
    <row r="31" customFormat="false" ht="15" hidden="false" customHeight="true" outlineLevel="0" collapsed="false">
      <c r="A31" s="21" t="s">
        <v>78</v>
      </c>
      <c r="B31" s="18" t="s">
        <v>79</v>
      </c>
    </row>
    <row r="32" customFormat="false" ht="23.25" hidden="false" customHeight="true" outlineLevel="0" collapsed="false">
      <c r="A32" s="21" t="s">
        <v>80</v>
      </c>
      <c r="B32" s="18" t="s">
        <v>81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5" width="6"/>
    <col collapsed="false" customWidth="true" hidden="false" outlineLevel="0" max="3" min="2" style="15" width="22"/>
    <col collapsed="false" customWidth="true" hidden="false" outlineLevel="0" max="5" min="4" style="15" width="16"/>
    <col collapsed="false" customWidth="true" hidden="false" outlineLevel="0" max="6" min="6" style="15" width="13"/>
    <col collapsed="false" customWidth="true" hidden="false" outlineLevel="0" max="8" min="7" style="15" width="14"/>
    <col collapsed="false" customWidth="true" hidden="false" outlineLevel="0" max="10" min="9" style="15" width="16"/>
    <col collapsed="false" customWidth="true" hidden="false" outlineLevel="0" max="12" min="11" style="15" width="14"/>
  </cols>
  <sheetData>
    <row r="1" customFormat="false" ht="19.5" hidden="false" customHeight="true" outlineLevel="0" collapsed="false">
      <c r="A1" s="16" t="s">
        <v>82</v>
      </c>
    </row>
    <row r="2" customFormat="false" ht="15" hidden="false" customHeight="true" outlineLevel="0" collapsed="false">
      <c r="A2" s="17" t="s">
        <v>83</v>
      </c>
    </row>
    <row r="4" customFormat="false" ht="27.75" hidden="false" customHeight="true" outlineLevel="0" collapsed="false">
      <c r="A4" s="22" t="s">
        <v>84</v>
      </c>
      <c r="B4" s="23" t="s">
        <v>85</v>
      </c>
      <c r="C4" s="23"/>
      <c r="D4" s="23"/>
      <c r="E4" s="23"/>
      <c r="F4" s="23" t="s">
        <v>86</v>
      </c>
      <c r="G4" s="23"/>
      <c r="H4" s="23" t="s">
        <v>87</v>
      </c>
      <c r="I4" s="23"/>
      <c r="J4" s="23" t="s">
        <v>88</v>
      </c>
      <c r="K4" s="23"/>
    </row>
    <row r="5" customFormat="false" ht="27.75" hidden="false" customHeight="true" outlineLevel="0" collapsed="false">
      <c r="A5" s="24" t="s">
        <v>89</v>
      </c>
      <c r="B5" s="24" t="s">
        <v>90</v>
      </c>
      <c r="C5" s="24" t="s">
        <v>91</v>
      </c>
      <c r="D5" s="24" t="s">
        <v>92</v>
      </c>
      <c r="E5" s="24" t="s">
        <v>93</v>
      </c>
      <c r="F5" s="24" t="s">
        <v>94</v>
      </c>
      <c r="G5" s="24" t="s">
        <v>95</v>
      </c>
      <c r="H5" s="24" t="s">
        <v>96</v>
      </c>
      <c r="I5" s="24" t="s">
        <v>92</v>
      </c>
      <c r="J5" s="24" t="s">
        <v>93</v>
      </c>
      <c r="K5" s="24" t="s">
        <v>97</v>
      </c>
      <c r="L5" s="24" t="s">
        <v>98</v>
      </c>
    </row>
    <row r="6" customFormat="false" ht="15" hidden="false" customHeight="true" outlineLevel="0" collapsed="false">
      <c r="A6" s="25" t="s">
        <v>99</v>
      </c>
      <c r="B6" s="26" t="s">
        <v>100</v>
      </c>
      <c r="C6" s="26" t="s">
        <v>101</v>
      </c>
      <c r="D6" s="27" t="n">
        <v>38.0427932333333</v>
      </c>
      <c r="E6" s="27" t="n">
        <v>23.7919625805556</v>
      </c>
      <c r="F6" s="28" t="n">
        <v>222.723</v>
      </c>
      <c r="G6" s="28" t="n">
        <v>481596.204</v>
      </c>
      <c r="H6" s="28" t="n">
        <v>4210296.557</v>
      </c>
      <c r="I6" s="27" t="n">
        <v>38.042793567</v>
      </c>
      <c r="J6" s="27" t="n">
        <v>23.791963087</v>
      </c>
      <c r="K6" s="28" t="n">
        <v>481595.86268839</v>
      </c>
      <c r="L6" s="28" t="n">
        <v>4210295.61214521</v>
      </c>
    </row>
    <row r="7" customFormat="false" ht="15" hidden="false" customHeight="true" outlineLevel="0" collapsed="false">
      <c r="A7" s="25" t="s">
        <v>102</v>
      </c>
      <c r="B7" s="26" t="s">
        <v>103</v>
      </c>
      <c r="C7" s="26" t="s">
        <v>104</v>
      </c>
      <c r="D7" s="27" t="n">
        <v>38.0427755861111</v>
      </c>
      <c r="E7" s="27" t="n">
        <v>23.7919629444445</v>
      </c>
      <c r="F7" s="28" t="n">
        <v>222.719</v>
      </c>
      <c r="G7" s="28" t="n">
        <v>481596.232</v>
      </c>
      <c r="H7" s="28" t="n">
        <v>4210294.599</v>
      </c>
      <c r="I7" s="27" t="n">
        <v>38.042775782</v>
      </c>
      <c r="J7" s="27" t="n">
        <v>23.791963271</v>
      </c>
      <c r="K7" s="28" t="n">
        <v>481595.894111828</v>
      </c>
      <c r="L7" s="28" t="n">
        <v>4210293.64319043</v>
      </c>
    </row>
    <row r="8" customFormat="false" ht="15" hidden="false" customHeight="true" outlineLevel="0" collapsed="false">
      <c r="A8" s="25" t="s">
        <v>105</v>
      </c>
      <c r="B8" s="26" t="s">
        <v>106</v>
      </c>
      <c r="C8" s="26" t="s">
        <v>107</v>
      </c>
      <c r="D8" s="27" t="n">
        <v>38.0427623638889</v>
      </c>
      <c r="E8" s="27" t="n">
        <v>23.7919801416667</v>
      </c>
      <c r="F8" s="28" t="n">
        <v>222.692</v>
      </c>
      <c r="G8" s="28" t="n">
        <v>481597.738</v>
      </c>
      <c r="H8" s="28" t="n">
        <v>4210293.129</v>
      </c>
      <c r="I8" s="27" t="n">
        <v>38.042762319</v>
      </c>
      <c r="J8" s="27" t="n">
        <v>23.791980018</v>
      </c>
      <c r="K8" s="28" t="n">
        <v>481597.350878877</v>
      </c>
      <c r="L8" s="28" t="n">
        <v>4210292.14667205</v>
      </c>
    </row>
    <row r="9" customFormat="false" ht="15" hidden="false" customHeight="true" outlineLevel="0" collapsed="false">
      <c r="A9" s="25" t="s">
        <v>108</v>
      </c>
      <c r="B9" s="26" t="s">
        <v>109</v>
      </c>
      <c r="C9" s="26" t="s">
        <v>110</v>
      </c>
      <c r="D9" s="27" t="n">
        <v>38.0427978861111</v>
      </c>
      <c r="E9" s="27" t="n">
        <v>23.7919419611111</v>
      </c>
      <c r="F9" s="28" t="n">
        <v>222.815</v>
      </c>
      <c r="G9" s="28" t="n">
        <v>481594.396</v>
      </c>
      <c r="H9" s="28" t="n">
        <v>4210297.078</v>
      </c>
      <c r="I9" s="27" t="n">
        <v>38.042797538</v>
      </c>
      <c r="J9" s="27" t="n">
        <v>23.791942958</v>
      </c>
      <c r="K9" s="28" t="n">
        <v>481594.124115774</v>
      </c>
      <c r="L9" s="28" t="n">
        <v>4210296.06614304</v>
      </c>
    </row>
    <row r="10" customFormat="false" ht="15" hidden="false" customHeight="true" outlineLevel="0" collapsed="false">
      <c r="A10" s="25" t="s">
        <v>111</v>
      </c>
      <c r="B10" s="26" t="s">
        <v>112</v>
      </c>
      <c r="C10" s="26" t="s">
        <v>113</v>
      </c>
      <c r="D10" s="27" t="n">
        <v>38.0428102916667</v>
      </c>
      <c r="E10" s="27" t="n">
        <v>23.7919236111111</v>
      </c>
      <c r="F10" s="28" t="n">
        <v>222.869</v>
      </c>
      <c r="G10" s="28" t="n">
        <v>481592.789</v>
      </c>
      <c r="H10" s="28" t="n">
        <v>4210298.458</v>
      </c>
      <c r="I10" s="27" t="n">
        <v>38.042810073</v>
      </c>
      <c r="J10" s="27" t="n">
        <v>23.791923893</v>
      </c>
      <c r="K10" s="28" t="n">
        <v>481592.443214037</v>
      </c>
      <c r="L10" s="28" t="n">
        <v>4210297.45739003</v>
      </c>
    </row>
  </sheetData>
  <mergeCells count="4">
    <mergeCell ref="B4:E4"/>
    <mergeCell ref="F4:G4"/>
    <mergeCell ref="H4:I4"/>
    <mergeCell ref="J4:K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5" width="8"/>
    <col collapsed="false" customWidth="true" hidden="false" outlineLevel="0" max="5" min="2" style="15" width="22"/>
    <col collapsed="false" customWidth="true" hidden="false" outlineLevel="0" max="8" min="6" style="15" width="16"/>
  </cols>
  <sheetData>
    <row r="1" customFormat="false" ht="19.5" hidden="false" customHeight="true" outlineLevel="0" collapsed="false">
      <c r="A1" s="16" t="s">
        <v>114</v>
      </c>
    </row>
    <row r="2" customFormat="false" ht="15" hidden="false" customHeight="true" outlineLevel="0" collapsed="false">
      <c r="A2" s="17" t="s">
        <v>115</v>
      </c>
    </row>
    <row r="4" customFormat="false" ht="36" hidden="false" customHeight="true" outlineLevel="0" collapsed="false">
      <c r="A4" s="22" t="s">
        <v>84</v>
      </c>
      <c r="B4" s="22" t="s">
        <v>116</v>
      </c>
      <c r="C4" s="22" t="s">
        <v>117</v>
      </c>
      <c r="D4" s="22" t="s">
        <v>118</v>
      </c>
      <c r="E4" s="22" t="s">
        <v>119</v>
      </c>
      <c r="F4" s="22" t="s">
        <v>120</v>
      </c>
      <c r="G4" s="22" t="s">
        <v>121</v>
      </c>
      <c r="H4" s="22" t="s">
        <v>122</v>
      </c>
    </row>
    <row r="5" customFormat="false" ht="15" hidden="false" customHeight="true" outlineLevel="0" collapsed="false">
      <c r="A5" s="25" t="s">
        <v>99</v>
      </c>
      <c r="B5" s="27" t="n">
        <v>38.0427932333333</v>
      </c>
      <c r="C5" s="27" t="n">
        <v>23.7919625805556</v>
      </c>
      <c r="D5" s="27" t="n">
        <v>38.042793567</v>
      </c>
      <c r="E5" s="27" t="n">
        <v>23.791963087</v>
      </c>
      <c r="F5" s="29" t="n">
        <v>0.333666662299947</v>
      </c>
      <c r="G5" s="29" t="n">
        <v>0.506444443715282</v>
      </c>
      <c r="H5" s="30" t="n">
        <v>5.7839666273167</v>
      </c>
    </row>
    <row r="6" customFormat="false" ht="15" hidden="false" customHeight="true" outlineLevel="0" collapsed="false">
      <c r="A6" s="25" t="s">
        <v>102</v>
      </c>
      <c r="B6" s="27" t="n">
        <v>38.0427755861111</v>
      </c>
      <c r="C6" s="27" t="n">
        <v>23.7919629444445</v>
      </c>
      <c r="D6" s="27" t="n">
        <v>38.042775782</v>
      </c>
      <c r="E6" s="27" t="n">
        <v>23.791963271</v>
      </c>
      <c r="F6" s="29" t="n">
        <v>0.19588888733324</v>
      </c>
      <c r="G6" s="29" t="n">
        <v>0.326555554153174</v>
      </c>
      <c r="H6" s="30" t="n">
        <v>3.59647564573436</v>
      </c>
    </row>
    <row r="7" customFormat="false" ht="15" hidden="false" customHeight="true" outlineLevel="0" collapsed="false">
      <c r="A7" s="25" t="s">
        <v>105</v>
      </c>
      <c r="B7" s="27" t="n">
        <v>38.0427623638889</v>
      </c>
      <c r="C7" s="27" t="n">
        <v>23.7919801416667</v>
      </c>
      <c r="D7" s="27" t="n">
        <v>38.042762319</v>
      </c>
      <c r="E7" s="27" t="n">
        <v>23.791980018</v>
      </c>
      <c r="F7" s="29" t="n">
        <v>-0.0448888926030122</v>
      </c>
      <c r="G7" s="29" t="n">
        <v>-0.123666669793465</v>
      </c>
      <c r="H7" s="30" t="n">
        <v>1.19398123858253</v>
      </c>
    </row>
    <row r="8" customFormat="false" ht="15" hidden="false" customHeight="true" outlineLevel="0" collapsed="false">
      <c r="A8" s="25" t="s">
        <v>108</v>
      </c>
      <c r="B8" s="27" t="n">
        <v>38.0427978861111</v>
      </c>
      <c r="C8" s="27" t="n">
        <v>23.7919419611111</v>
      </c>
      <c r="D8" s="27" t="n">
        <v>38.042797538</v>
      </c>
      <c r="E8" s="27" t="n">
        <v>23.791942958</v>
      </c>
      <c r="F8" s="29" t="n">
        <v>-0.348111107939531</v>
      </c>
      <c r="G8" s="29" t="n">
        <v>0.996888886106717</v>
      </c>
      <c r="H8" s="30" t="n">
        <v>9.56219214865603</v>
      </c>
    </row>
    <row r="9" customFormat="false" ht="15" hidden="false" customHeight="true" outlineLevel="0" collapsed="false">
      <c r="A9" s="25" t="s">
        <v>111</v>
      </c>
      <c r="B9" s="27" t="n">
        <v>38.0428102916667</v>
      </c>
      <c r="C9" s="27" t="n">
        <v>23.7919236111111</v>
      </c>
      <c r="D9" s="27" t="n">
        <v>38.042810073</v>
      </c>
      <c r="E9" s="27" t="n">
        <v>23.791923893</v>
      </c>
      <c r="F9" s="29" t="n">
        <v>-0.218666663442946</v>
      </c>
      <c r="G9" s="29" t="n">
        <v>0.281888887343484</v>
      </c>
      <c r="H9" s="30" t="n">
        <v>3.46476134774407</v>
      </c>
    </row>
    <row r="11" customFormat="false" ht="15" hidden="false" customHeight="true" outlineLevel="0" collapsed="false">
      <c r="A11" s="31" t="s">
        <v>123</v>
      </c>
      <c r="B11" s="32" t="s">
        <v>124</v>
      </c>
      <c r="C11" s="32"/>
      <c r="D11" s="32"/>
      <c r="E11" s="32"/>
      <c r="F11" s="32"/>
      <c r="G11" s="32"/>
      <c r="H11" s="32"/>
    </row>
  </sheetData>
  <mergeCells count="1">
    <mergeCell ref="B11:H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15" width="8"/>
    <col collapsed="false" customWidth="true" hidden="false" outlineLevel="0" max="7" min="2" style="15" width="6"/>
    <col collapsed="false" customWidth="true" hidden="false" outlineLevel="0" max="9" min="8" style="15" width="12"/>
  </cols>
  <sheetData>
    <row r="1" customFormat="false" ht="19.5" hidden="false" customHeight="true" outlineLevel="0" collapsed="false">
      <c r="A1" s="16" t="s">
        <v>125</v>
      </c>
    </row>
    <row r="2" customFormat="false" ht="15" hidden="false" customHeight="true" outlineLevel="0" collapsed="false">
      <c r="A2" s="17" t="s">
        <v>126</v>
      </c>
    </row>
    <row r="4" customFormat="false" ht="30" hidden="false" customHeight="true" outlineLevel="0" collapsed="false">
      <c r="A4" s="22" t="s">
        <v>84</v>
      </c>
      <c r="B4" s="23" t="s">
        <v>127</v>
      </c>
      <c r="C4" s="23"/>
      <c r="D4" s="23" t="s">
        <v>128</v>
      </c>
      <c r="E4" s="23"/>
      <c r="F4" s="23" t="s">
        <v>129</v>
      </c>
      <c r="G4" s="23"/>
      <c r="H4" s="23" t="s">
        <v>130</v>
      </c>
      <c r="I4" s="23"/>
    </row>
    <row r="5" customFormat="false" ht="21.75" hidden="false" customHeight="true" outlineLevel="0" collapsed="false">
      <c r="A5" s="24" t="s">
        <v>89</v>
      </c>
      <c r="B5" s="24" t="s">
        <v>131</v>
      </c>
      <c r="C5" s="24" t="s">
        <v>132</v>
      </c>
      <c r="D5" s="24" t="s">
        <v>131</v>
      </c>
      <c r="E5" s="24" t="s">
        <v>132</v>
      </c>
      <c r="F5" s="24" t="s">
        <v>133</v>
      </c>
      <c r="G5" s="24" t="s">
        <v>134</v>
      </c>
      <c r="H5" s="24" t="s">
        <v>135</v>
      </c>
      <c r="I5" s="24" t="s">
        <v>136</v>
      </c>
    </row>
    <row r="6" customFormat="false" ht="15" hidden="false" customHeight="true" outlineLevel="0" collapsed="false">
      <c r="A6" s="25" t="s">
        <v>99</v>
      </c>
      <c r="B6" s="33" t="n">
        <v>481595.82834393</v>
      </c>
      <c r="C6" s="33" t="n">
        <v>4210295.57017688</v>
      </c>
      <c r="D6" s="34" t="n">
        <v>481596.207550171</v>
      </c>
      <c r="E6" s="34" t="n">
        <v>4210296.55447142</v>
      </c>
      <c r="F6" s="35" t="n">
        <v>481595.86268839</v>
      </c>
      <c r="G6" s="35" t="n">
        <v>4210295.61214521</v>
      </c>
      <c r="H6" s="29" t="n">
        <v>37.9206240671507</v>
      </c>
      <c r="I6" s="29" t="n">
        <v>98.4294537595417</v>
      </c>
    </row>
    <row r="7" customFormat="false" ht="15" hidden="false" customHeight="true" outlineLevel="0" collapsed="false">
      <c r="A7" s="25" t="s">
        <v>102</v>
      </c>
      <c r="B7" s="33" t="n">
        <v>481595.855893081</v>
      </c>
      <c r="C7" s="33" t="n">
        <v>4210293.61208215</v>
      </c>
      <c r="D7" s="34" t="n">
        <v>481596.235077142</v>
      </c>
      <c r="E7" s="34" t="n">
        <v>4210294.59639888</v>
      </c>
      <c r="F7" s="35" t="n">
        <v>481595.894111828</v>
      </c>
      <c r="G7" s="35" t="n">
        <v>4210293.64319043</v>
      </c>
      <c r="H7" s="29" t="n">
        <v>37.9184060580719</v>
      </c>
      <c r="I7" s="29" t="n">
        <v>98.4316731566826</v>
      </c>
    </row>
    <row r="8" customFormat="false" ht="15" hidden="false" customHeight="true" outlineLevel="0" collapsed="false">
      <c r="A8" s="25" t="s">
        <v>105</v>
      </c>
      <c r="B8" s="33" t="n">
        <v>481597.36161364</v>
      </c>
      <c r="C8" s="33" t="n">
        <v>4210292.14165249</v>
      </c>
      <c r="D8" s="34" t="n">
        <v>481597.740779952</v>
      </c>
      <c r="E8" s="34" t="n">
        <v>4210293.12597176</v>
      </c>
      <c r="F8" s="35" t="n">
        <v>481597.350878877</v>
      </c>
      <c r="G8" s="35" t="n">
        <v>4210292.14667205</v>
      </c>
      <c r="H8" s="29" t="n">
        <v>37.9166311840853</v>
      </c>
      <c r="I8" s="29" t="n">
        <v>98.4319270449339</v>
      </c>
    </row>
    <row r="9" customFormat="false" ht="15" hidden="false" customHeight="true" outlineLevel="0" collapsed="false">
      <c r="A9" s="25" t="s">
        <v>108</v>
      </c>
      <c r="B9" s="33" t="n">
        <v>481594.020207464</v>
      </c>
      <c r="C9" s="33" t="n">
        <v>4210296.09046784</v>
      </c>
      <c r="D9" s="34" t="n">
        <v>481594.399419646</v>
      </c>
      <c r="E9" s="34" t="n">
        <v>4210297.07477258</v>
      </c>
      <c r="F9" s="35" t="n">
        <v>481594.124115774</v>
      </c>
      <c r="G9" s="35" t="n">
        <v>4210296.06614304</v>
      </c>
      <c r="H9" s="29" t="n">
        <v>37.9212182960335</v>
      </c>
      <c r="I9" s="29" t="n">
        <v>98.430474778508</v>
      </c>
    </row>
    <row r="10" customFormat="false" ht="15" hidden="false" customHeight="true" outlineLevel="0" collapsed="false">
      <c r="A10" s="25" t="s">
        <v>111</v>
      </c>
      <c r="B10" s="33" t="n">
        <v>481592.413132847</v>
      </c>
      <c r="C10" s="33" t="n">
        <v>4210297.47051236</v>
      </c>
      <c r="D10" s="34" t="n">
        <v>481592.792360313</v>
      </c>
      <c r="E10" s="34" t="n">
        <v>4210298.45481485</v>
      </c>
      <c r="F10" s="35" t="n">
        <v>481592.443214037</v>
      </c>
      <c r="G10" s="35" t="n">
        <v>4210297.45739003</v>
      </c>
      <c r="H10" s="29" t="n">
        <v>37.9227466171721</v>
      </c>
      <c r="I10" s="29" t="n">
        <v>98.4302492337802</v>
      </c>
    </row>
    <row r="12" customFormat="false" ht="15" hidden="false" customHeight="true" outlineLevel="0" collapsed="false">
      <c r="A12" s="36" t="s">
        <v>137</v>
      </c>
    </row>
    <row r="13" customFormat="false" ht="15" hidden="false" customHeight="true" outlineLevel="0" collapsed="false">
      <c r="B13" s="37"/>
      <c r="C13" s="38" t="s">
        <v>138</v>
      </c>
      <c r="D13" s="38"/>
      <c r="E13" s="38"/>
      <c r="F13" s="38"/>
      <c r="G13" s="38"/>
      <c r="H13" s="38"/>
      <c r="I13" s="38"/>
    </row>
    <row r="14" customFormat="false" ht="15" hidden="false" customHeight="true" outlineLevel="0" collapsed="false">
      <c r="B14" s="39"/>
      <c r="C14" s="38" t="s">
        <v>139</v>
      </c>
      <c r="D14" s="38"/>
      <c r="E14" s="38"/>
      <c r="F14" s="38"/>
      <c r="G14" s="38"/>
      <c r="H14" s="38"/>
      <c r="I14" s="38"/>
    </row>
    <row r="15" customFormat="false" ht="15" hidden="false" customHeight="true" outlineLevel="0" collapsed="false">
      <c r="B15" s="40"/>
      <c r="C15" s="38" t="s">
        <v>140</v>
      </c>
      <c r="D15" s="38"/>
      <c r="E15" s="38"/>
      <c r="F15" s="38"/>
      <c r="G15" s="38"/>
      <c r="H15" s="38"/>
      <c r="I15" s="38"/>
    </row>
  </sheetData>
  <mergeCells count="7">
    <mergeCell ref="B4:C4"/>
    <mergeCell ref="D4:E4"/>
    <mergeCell ref="F4:G4"/>
    <mergeCell ref="H4:I4"/>
    <mergeCell ref="C13:I13"/>
    <mergeCell ref="C14:I14"/>
    <mergeCell ref="C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5" width="8"/>
    <col collapsed="false" customWidth="true" hidden="false" outlineLevel="0" max="5" min="2" style="15" width="18"/>
    <col collapsed="false" customWidth="true" hidden="false" outlineLevel="0" max="7" min="6" style="15" width="14"/>
    <col collapsed="false" customWidth="true" hidden="false" outlineLevel="0" max="8" min="8" style="15" width="18"/>
  </cols>
  <sheetData>
    <row r="1" customFormat="false" ht="19.5" hidden="false" customHeight="true" outlineLevel="0" collapsed="false">
      <c r="A1" s="16" t="s">
        <v>141</v>
      </c>
    </row>
    <row r="2" customFormat="false" ht="15" hidden="false" customHeight="true" outlineLevel="0" collapsed="false">
      <c r="A2" s="17" t="s">
        <v>142</v>
      </c>
    </row>
    <row r="4" customFormat="false" ht="31.5" hidden="false" customHeight="true" outlineLevel="0" collapsed="false">
      <c r="A4" s="22" t="s">
        <v>84</v>
      </c>
      <c r="B4" s="22" t="s">
        <v>143</v>
      </c>
      <c r="C4" s="22" t="s">
        <v>144</v>
      </c>
      <c r="D4" s="22" t="s">
        <v>145</v>
      </c>
      <c r="E4" s="22" t="s">
        <v>146</v>
      </c>
      <c r="F4" s="22" t="s">
        <v>147</v>
      </c>
      <c r="G4" s="22" t="s">
        <v>148</v>
      </c>
      <c r="H4" s="22" t="s">
        <v>149</v>
      </c>
    </row>
    <row r="5" customFormat="false" ht="15" hidden="false" customHeight="true" outlineLevel="0" collapsed="false">
      <c r="A5" s="25" t="s">
        <v>99</v>
      </c>
      <c r="B5" s="28" t="n">
        <v>481596.207550171</v>
      </c>
      <c r="C5" s="28" t="n">
        <v>4210296.55447142</v>
      </c>
      <c r="D5" s="28" t="n">
        <v>481596.204</v>
      </c>
      <c r="E5" s="28" t="n">
        <v>4210296.557</v>
      </c>
      <c r="F5" s="41" t="n">
        <v>0.0035501709789969</v>
      </c>
      <c r="G5" s="41" t="n">
        <v>-0.00252858269959688</v>
      </c>
      <c r="H5" s="42" t="n">
        <v>4.35860579185736</v>
      </c>
    </row>
    <row r="6" customFormat="false" ht="15" hidden="false" customHeight="true" outlineLevel="0" collapsed="false">
      <c r="A6" s="25" t="s">
        <v>102</v>
      </c>
      <c r="B6" s="28" t="n">
        <v>481596.235077142</v>
      </c>
      <c r="C6" s="28" t="n">
        <v>4210294.59639888</v>
      </c>
      <c r="D6" s="28" t="n">
        <v>481596.232</v>
      </c>
      <c r="E6" s="28" t="n">
        <v>4210294.599</v>
      </c>
      <c r="F6" s="41" t="n">
        <v>0.00307714176597074</v>
      </c>
      <c r="G6" s="41" t="n">
        <v>-0.00260112248361111</v>
      </c>
      <c r="H6" s="42" t="n">
        <v>4.02922320337664</v>
      </c>
    </row>
    <row r="7" customFormat="false" ht="15" hidden="false" customHeight="true" outlineLevel="0" collapsed="false">
      <c r="A7" s="25" t="s">
        <v>105</v>
      </c>
      <c r="B7" s="28" t="n">
        <v>481597.740779952</v>
      </c>
      <c r="C7" s="28" t="n">
        <v>4210293.12597176</v>
      </c>
      <c r="D7" s="28" t="n">
        <v>481597.738</v>
      </c>
      <c r="E7" s="28" t="n">
        <v>4210293.129</v>
      </c>
      <c r="F7" s="41" t="n">
        <v>0.00277995184296742</v>
      </c>
      <c r="G7" s="41" t="n">
        <v>-0.00302823912352324</v>
      </c>
      <c r="H7" s="42" t="n">
        <v>4.11076202649274</v>
      </c>
    </row>
    <row r="8" customFormat="false" ht="15" hidden="false" customHeight="true" outlineLevel="0" collapsed="false">
      <c r="A8" s="25" t="s">
        <v>108</v>
      </c>
      <c r="B8" s="28" t="n">
        <v>481594.399419646</v>
      </c>
      <c r="C8" s="28" t="n">
        <v>4210297.07477258</v>
      </c>
      <c r="D8" s="28" t="n">
        <v>481594.396</v>
      </c>
      <c r="E8" s="28" t="n">
        <v>4210297.078</v>
      </c>
      <c r="F8" s="41" t="n">
        <v>0.00341964641120285</v>
      </c>
      <c r="G8" s="41" t="n">
        <v>-0.00322741735726595</v>
      </c>
      <c r="H8" s="42" t="n">
        <v>4.70214891040618</v>
      </c>
    </row>
    <row r="9" customFormat="false" ht="15" hidden="false" customHeight="true" outlineLevel="0" collapsed="false">
      <c r="A9" s="25" t="s">
        <v>111</v>
      </c>
      <c r="B9" s="28" t="n">
        <v>481592.792360313</v>
      </c>
      <c r="C9" s="28" t="n">
        <v>4210298.45481485</v>
      </c>
      <c r="D9" s="28" t="n">
        <v>481592.789</v>
      </c>
      <c r="E9" s="28" t="n">
        <v>4210298.458</v>
      </c>
      <c r="F9" s="41" t="n">
        <v>0.00336031289771199</v>
      </c>
      <c r="G9" s="41" t="n">
        <v>-0.00318514835089445</v>
      </c>
      <c r="H9" s="42" t="n">
        <v>4.62999706130957</v>
      </c>
    </row>
    <row r="11" customFormat="false" ht="15" hidden="false" customHeight="true" outlineLevel="0" collapsed="false">
      <c r="A11" s="43" t="s">
        <v>150</v>
      </c>
      <c r="F11" s="44" t="n">
        <f aca="false">AVERAGE(F5:F9)</f>
        <v>0.00323744477936998</v>
      </c>
      <c r="G11" s="44" t="n">
        <f aca="false">AVERAGE(G5:G9)</f>
        <v>-0.00291410200297833</v>
      </c>
      <c r="H11" s="45" t="n">
        <f aca="false">AVERAGE(H5:H9)</f>
        <v>4.3661473986885</v>
      </c>
    </row>
    <row r="12" customFormat="false" ht="15" hidden="false" customHeight="true" outlineLevel="0" collapsed="false">
      <c r="A12" s="43" t="s">
        <v>151</v>
      </c>
      <c r="F12" s="44" t="n">
        <f aca="false">MAX(MAX(F5:F9),-MIN(F5:F9))</f>
        <v>0.0035501709789969</v>
      </c>
      <c r="G12" s="44" t="n">
        <f aca="false">MAX(MAX(G5:G9),-MIN(G5:G9))</f>
        <v>0.00322741735726595</v>
      </c>
      <c r="H12" s="45" t="n">
        <f aca="false">MAX(H5:H9)</f>
        <v>4.70214891040618</v>
      </c>
    </row>
    <row r="13" customFormat="false" ht="15" hidden="false" customHeight="true" outlineLevel="0" collapsed="false">
      <c r="A13" s="43" t="s">
        <v>152</v>
      </c>
      <c r="F13" s="44" t="n">
        <f aca="false">STDEV(F5:F9)</f>
        <v>0.000308661840872692</v>
      </c>
      <c r="G13" s="44" t="n">
        <f aca="false">STDEV(G5:G9)</f>
        <v>0.000328344799357467</v>
      </c>
      <c r="H13" s="45" t="n">
        <f aca="false">STDEV(H5:H9)</f>
        <v>0.300545395029406</v>
      </c>
    </row>
    <row r="15" customFormat="false" ht="30" hidden="false" customHeight="true" outlineLevel="0" collapsed="false">
      <c r="A15" s="46" t="s">
        <v>123</v>
      </c>
      <c r="B15" s="47" t="s">
        <v>153</v>
      </c>
      <c r="C15" s="47"/>
      <c r="D15" s="47"/>
      <c r="E15" s="47"/>
      <c r="F15" s="47"/>
      <c r="G15" s="47"/>
      <c r="H15" s="47"/>
    </row>
  </sheetData>
  <mergeCells count="1">
    <mergeCell ref="B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5" width="8"/>
    <col collapsed="false" customWidth="true" hidden="false" outlineLevel="0" max="3" min="2" style="15" width="16"/>
    <col collapsed="false" customWidth="true" hidden="false" outlineLevel="0" max="4" min="4" style="15" width="12"/>
    <col collapsed="false" customWidth="true" hidden="false" outlineLevel="0" max="11" min="5" style="15" width="14"/>
  </cols>
  <sheetData>
    <row r="1" customFormat="false" ht="19.5" hidden="false" customHeight="true" outlineLevel="0" collapsed="false">
      <c r="A1" s="16" t="s">
        <v>154</v>
      </c>
    </row>
    <row r="2" customFormat="false" ht="15" hidden="false" customHeight="true" outlineLevel="0" collapsed="false">
      <c r="A2" s="17" t="s">
        <v>155</v>
      </c>
    </row>
    <row r="4" customFormat="false" ht="31.5" hidden="false" customHeight="true" outlineLevel="0" collapsed="false">
      <c r="A4" s="22" t="s">
        <v>84</v>
      </c>
      <c r="B4" s="22" t="s">
        <v>156</v>
      </c>
      <c r="C4" s="22" t="s">
        <v>157</v>
      </c>
      <c r="D4" s="22" t="s">
        <v>158</v>
      </c>
      <c r="E4" s="22" t="s">
        <v>159</v>
      </c>
      <c r="F4" s="22" t="s">
        <v>160</v>
      </c>
      <c r="G4" s="22" t="s">
        <v>161</v>
      </c>
      <c r="H4" s="22" t="s">
        <v>162</v>
      </c>
      <c r="I4" s="22" t="s">
        <v>163</v>
      </c>
      <c r="J4" s="22" t="s">
        <v>164</v>
      </c>
      <c r="K4" s="22" t="s">
        <v>165</v>
      </c>
    </row>
    <row r="5" customFormat="false" ht="15" hidden="false" customHeight="true" outlineLevel="0" collapsed="false">
      <c r="A5" s="25" t="s">
        <v>99</v>
      </c>
      <c r="B5" s="27" t="n">
        <v>38.0427932333333</v>
      </c>
      <c r="C5" s="27" t="n">
        <v>23.7919625805556</v>
      </c>
      <c r="D5" s="28" t="n">
        <v>222.723</v>
      </c>
      <c r="E5" s="33" t="n">
        <v>481595.82834393</v>
      </c>
      <c r="F5" s="33" t="n">
        <v>4210295.57017688</v>
      </c>
      <c r="G5" s="34" t="n">
        <v>481596.207550171</v>
      </c>
      <c r="H5" s="34" t="n">
        <v>4210296.55447142</v>
      </c>
      <c r="I5" s="28" t="n">
        <v>481596.204</v>
      </c>
      <c r="J5" s="28" t="n">
        <v>4210296.557</v>
      </c>
      <c r="K5" s="30" t="n">
        <v>4.35860579185736</v>
      </c>
    </row>
    <row r="6" customFormat="false" ht="15" hidden="false" customHeight="true" outlineLevel="0" collapsed="false">
      <c r="A6" s="25" t="s">
        <v>102</v>
      </c>
      <c r="B6" s="27" t="n">
        <v>38.0427755861111</v>
      </c>
      <c r="C6" s="27" t="n">
        <v>23.7919629444445</v>
      </c>
      <c r="D6" s="28" t="n">
        <v>222.719</v>
      </c>
      <c r="E6" s="33" t="n">
        <v>481595.855893081</v>
      </c>
      <c r="F6" s="33" t="n">
        <v>4210293.61208215</v>
      </c>
      <c r="G6" s="34" t="n">
        <v>481596.235077142</v>
      </c>
      <c r="H6" s="34" t="n">
        <v>4210294.59639888</v>
      </c>
      <c r="I6" s="28" t="n">
        <v>481596.232</v>
      </c>
      <c r="J6" s="28" t="n">
        <v>4210294.599</v>
      </c>
      <c r="K6" s="30" t="n">
        <v>4.02922320337664</v>
      </c>
    </row>
    <row r="7" customFormat="false" ht="15" hidden="false" customHeight="true" outlineLevel="0" collapsed="false">
      <c r="A7" s="25" t="s">
        <v>105</v>
      </c>
      <c r="B7" s="27" t="n">
        <v>38.0427623638889</v>
      </c>
      <c r="C7" s="27" t="n">
        <v>23.7919801416667</v>
      </c>
      <c r="D7" s="28" t="n">
        <v>222.692</v>
      </c>
      <c r="E7" s="33" t="n">
        <v>481597.36161364</v>
      </c>
      <c r="F7" s="33" t="n">
        <v>4210292.14165249</v>
      </c>
      <c r="G7" s="34" t="n">
        <v>481597.740779952</v>
      </c>
      <c r="H7" s="34" t="n">
        <v>4210293.12597176</v>
      </c>
      <c r="I7" s="28" t="n">
        <v>481597.738</v>
      </c>
      <c r="J7" s="28" t="n">
        <v>4210293.129</v>
      </c>
      <c r="K7" s="30" t="n">
        <v>4.11076202649274</v>
      </c>
    </row>
    <row r="8" customFormat="false" ht="15" hidden="false" customHeight="true" outlineLevel="0" collapsed="false">
      <c r="A8" s="25" t="s">
        <v>108</v>
      </c>
      <c r="B8" s="27" t="n">
        <v>38.0427978861111</v>
      </c>
      <c r="C8" s="27" t="n">
        <v>23.7919419611111</v>
      </c>
      <c r="D8" s="28" t="n">
        <v>222.815</v>
      </c>
      <c r="E8" s="33" t="n">
        <v>481594.020207464</v>
      </c>
      <c r="F8" s="33" t="n">
        <v>4210296.09046784</v>
      </c>
      <c r="G8" s="34" t="n">
        <v>481594.399419646</v>
      </c>
      <c r="H8" s="34" t="n">
        <v>4210297.07477258</v>
      </c>
      <c r="I8" s="28" t="n">
        <v>481594.396</v>
      </c>
      <c r="J8" s="28" t="n">
        <v>4210297.078</v>
      </c>
      <c r="K8" s="30" t="n">
        <v>4.70214891040618</v>
      </c>
    </row>
    <row r="9" customFormat="false" ht="15" hidden="false" customHeight="true" outlineLevel="0" collapsed="false">
      <c r="A9" s="25" t="s">
        <v>111</v>
      </c>
      <c r="B9" s="27" t="n">
        <v>38.0428102916667</v>
      </c>
      <c r="C9" s="27" t="n">
        <v>23.7919236111111</v>
      </c>
      <c r="D9" s="28" t="n">
        <v>222.869</v>
      </c>
      <c r="E9" s="33" t="n">
        <v>481592.413132847</v>
      </c>
      <c r="F9" s="33" t="n">
        <v>4210297.47051236</v>
      </c>
      <c r="G9" s="34" t="n">
        <v>481592.792360313</v>
      </c>
      <c r="H9" s="34" t="n">
        <v>4210298.45481485</v>
      </c>
      <c r="I9" s="28" t="n">
        <v>481592.789</v>
      </c>
      <c r="J9" s="28" t="n">
        <v>4210298.458</v>
      </c>
      <c r="K9" s="30" t="n">
        <v>4.62999706130957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2026-05-04T16:51:19Z</dcterms:created>
  <dc:creator>openpyxl</dc:creator>
  <dc:description/>
  <dc:language>en-US</dc:language>
  <cp:lastModifiedBy/>
  <dcterms:modified xsi:type="dcterms:W3CDTF">2026-05-04T16:58:32Z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